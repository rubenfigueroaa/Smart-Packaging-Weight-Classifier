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66925"/>
  <mc:AlternateContent xmlns:mc="http://schemas.openxmlformats.org/markup-compatibility/2006">
    <mc:Choice Requires="x15">
      <x15ac:absPath xmlns:x15ac="http://schemas.microsoft.com/office/spreadsheetml/2010/11/ac" url="C:\Users\Ruben\Downloads\"/>
    </mc:Choice>
  </mc:AlternateContent>
  <xr:revisionPtr revIDLastSave="0" documentId="8_{79534CFF-1036-453E-82DA-382EB0C4DBCF}" xr6:coauthVersionLast="47" xr6:coauthVersionMax="47" xr10:uidLastSave="{00000000-0000-0000-0000-000000000000}"/>
  <bookViews>
    <workbookView xWindow="-108" yWindow="-108" windowWidth="23256" windowHeight="12456" xr2:uid="{00000000-000D-0000-FFFF-FFFF00000000}"/>
  </bookViews>
  <sheets>
    <sheet name="MSA Data" sheetId="1" r:id="rId1"/>
    <sheet name="Measurement System Analysi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1" l="1"/>
  <c r="G47" i="1"/>
  <c r="G43" i="1"/>
  <c r="G33" i="1"/>
  <c r="G48" i="1"/>
  <c r="G39" i="1"/>
  <c r="G38" i="1"/>
  <c r="G37" i="1"/>
  <c r="G32" i="1"/>
  <c r="I3" i="1"/>
  <c r="I4" i="1"/>
  <c r="I5" i="1"/>
  <c r="I6" i="1"/>
  <c r="I7" i="1"/>
  <c r="I8" i="1"/>
  <c r="I9" i="1"/>
  <c r="I10" i="1"/>
  <c r="I11" i="1"/>
  <c r="I12" i="1"/>
  <c r="I13" i="1"/>
  <c r="I14" i="1"/>
  <c r="I15" i="1"/>
  <c r="I16" i="1"/>
  <c r="I17" i="1"/>
  <c r="I18" i="1"/>
  <c r="I19" i="1"/>
  <c r="I2" i="1"/>
  <c r="H3" i="1" a="1"/>
  <c r="H3" i="1"/>
  <c r="H4" i="1" a="1"/>
  <c r="H4" i="1"/>
  <c r="H5" i="1" a="1"/>
  <c r="H5" i="1"/>
  <c r="H6" i="1" a="1"/>
  <c r="H6" i="1" s="1"/>
  <c r="H7" i="1" a="1"/>
  <c r="H7" i="1"/>
  <c r="H8" i="1" a="1"/>
  <c r="H8" i="1"/>
  <c r="H9" i="1" a="1"/>
  <c r="H9" i="1" s="1"/>
  <c r="H10" i="1" a="1"/>
  <c r="H10" i="1" s="1"/>
  <c r="H11" i="1" a="1"/>
  <c r="H11" i="1" s="1"/>
  <c r="H12" i="1" a="1"/>
  <c r="H12" i="1" s="1"/>
  <c r="H13" i="1" a="1"/>
  <c r="H13" i="1" s="1"/>
  <c r="H14" i="1" a="1"/>
  <c r="H14" i="1" s="1"/>
  <c r="H15" i="1" a="1"/>
  <c r="H15" i="1" s="1"/>
  <c r="H16" i="1" a="1"/>
  <c r="H16" i="1" s="1"/>
  <c r="H17" i="1" a="1"/>
  <c r="H17" i="1"/>
  <c r="H18" i="1" a="1"/>
  <c r="H18" i="1"/>
  <c r="H19" i="1" a="1"/>
  <c r="H19" i="1" s="1"/>
  <c r="H2" i="1" a="1"/>
  <c r="H2" i="1" s="1"/>
  <c r="G4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<sst xmlns="http://schemas.openxmlformats.org/spreadsheetml/2006/main" count="255" uniqueCount="41">
  <si>
    <t>Part</t>
  </si>
  <si>
    <t>Operator</t>
  </si>
  <si>
    <t>S1</t>
  </si>
  <si>
    <t>S2</t>
  </si>
  <si>
    <t>W1</t>
  </si>
  <si>
    <t>W2</t>
  </si>
  <si>
    <t>N1</t>
  </si>
  <si>
    <t>N2</t>
  </si>
  <si>
    <t>Repetition</t>
  </si>
  <si>
    <t>Ian</t>
  </si>
  <si>
    <t xml:space="preserve">Ruben </t>
  </si>
  <si>
    <t>Jose Luis</t>
  </si>
  <si>
    <t>Weight (g)</t>
  </si>
  <si>
    <t>Ruben</t>
  </si>
  <si>
    <t>Average Range</t>
  </si>
  <si>
    <t>AV (Appraiser Variation)</t>
  </si>
  <si>
    <t>Resultados del Estudio Gage R&amp;R</t>
  </si>
  <si>
    <t>Repeatability (EV)</t>
  </si>
  <si>
    <t>Notes</t>
  </si>
  <si>
    <t>Valor</t>
  </si>
  <si>
    <t>Repeatability (Equipment Variation)</t>
  </si>
  <si>
    <t>Reproducibility (Appraiser Variation)</t>
  </si>
  <si>
    <t>Rubén</t>
  </si>
  <si>
    <t>José Luis</t>
  </si>
  <si>
    <t>Mean (g)</t>
  </si>
  <si>
    <t>Parameter</t>
  </si>
  <si>
    <t>Value</t>
  </si>
  <si>
    <t>Operator Range</t>
  </si>
  <si>
    <t>Variation caused by differences between operators</t>
  </si>
  <si>
    <t>Total Gage R&amp;R</t>
  </si>
  <si>
    <t>Gage R&amp;R</t>
  </si>
  <si>
    <t>Total Variation (TV)</t>
  </si>
  <si>
    <t>% Gage R&amp;R</t>
  </si>
  <si>
    <t>Conclusion</t>
  </si>
  <si>
    <t>Scale Variation</t>
  </si>
  <si>
    <t>Pieza</t>
  </si>
  <si>
    <t>Operador</t>
  </si>
  <si>
    <t>Promedio</t>
  </si>
  <si>
    <t>Rango</t>
  </si>
  <si>
    <t>x</t>
  </si>
  <si>
    <t>The measurement system shows a % Gage R&amp;R of 3.278%, indicating that the variation introduced by the scale and the operators is minimal. Therefore, the system is capable and reliable for detecting weight differences and can be used for classifying complete and incomplete kits.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</si>
</sst>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00"/>
  </numFmts>
  <fonts count="5" x14ac:knownFonts="1">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1"/>
        <bgColor indexed="64"/>
      </patternFill>
    </fill>
    <fill>
      <patternFill patternType="solid">
        <fgColor rgb="FFFFFF00"/>
        <bgColor indexed="64"/>
      </patternFill>
    </fill>
  </fills>
  <borders count="11">
    <border>
      <left/>
      <right/>
      <top/>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2" fontId="0" fillId="0" borderId="0" xfId="0" applyNumberFormat="1"/>
    <xf numFmtId="164" fontId="0" fillId="0" borderId="0" xfId="0" applyNumberFormat="1"/>
    <xf numFmtId="0" fontId="2" fillId="0" borderId="0" xfId="0" applyFont="1"/>
    <xf numFmtId="0" fontId="2" fillId="0" borderId="5" xfId="0" applyFont="1" applyBorder="1"/>
    <xf numFmtId="0" fontId="2" fillId="0" borderId="6" xfId="0" applyFont="1" applyBorder="1"/>
    <xf numFmtId="0" fontId="0" fillId="0" borderId="5" xfId="0" applyBorder="1"/>
    <xf numFmtId="0" fontId="0" fillId="0" borderId="6" xfId="0" applyBorder="1" applyAlignment="1">
      <alignment horizontal="center" wrapText="1"/>
    </xf>
    <xf numFmtId="0" fontId="0" fillId="0" borderId="6" xfId="0" applyBorder="1"/>
    <xf numFmtId="0" fontId="0" fillId="0" borderId="7" xfId="0" applyBorder="1"/>
    <xf numFmtId="0" fontId="0" fillId="0" borderId="9" xfId="0" applyBorder="1"/>
    <xf numFmtId="0" fontId="0" fillId="4" borderId="5" xfId="0" applyFill="1" applyBorder="1"/>
    <xf numFmtId="0" fontId="0" fillId="4" borderId="0" xfId="0" applyFill="1"/>
    <xf numFmtId="0" fontId="0" fillId="4" borderId="6" xfId="0" applyFill="1" applyBorder="1"/>
    <xf numFmtId="0" fontId="1" fillId="2" borderId="1" xfId="0" applyFont="1" applyFill="1" applyBorder="1"/>
    <xf numFmtId="0" fontId="0" fillId="3" borderId="10" xfId="0" applyFill="1" applyBorder="1"/>
    <xf numFmtId="0" fontId="0" fillId="0" borderId="10" xfId="0" applyBorder="1"/>
    <xf numFmtId="165" fontId="0" fillId="5" borderId="8" xfId="0" applyNumberFormat="1" applyFill="1" applyBorder="1"/>
    <xf numFmtId="0" fontId="3" fillId="0" borderId="5" xfId="0" applyFont="1" applyBorder="1" applyAlignment="1">
      <alignment horizontal="center"/>
    </xf>
    <xf numFmtId="0" fontId="3" fillId="0" borderId="0" xfId="0" applyFont="1" applyAlignment="1">
      <alignment horizontal="center"/>
    </xf>
    <xf numFmtId="0" fontId="3" fillId="0" borderId="6" xfId="0" applyFont="1" applyBorder="1" applyAlignment="1">
      <alignment horizontal="center"/>
    </xf>
    <xf numFmtId="0" fontId="0" fillId="0" borderId="0" xfId="0" applyAlignment="1">
      <alignment horizontal="center"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cellXfs>
  <cellStyles count="1">
    <cellStyle name="Normal" xfId="0" builtinId="0"/>
  </cellStyles>
  <dxfs count="14">
    <dxf>
      <numFmt numFmtId="164" formatCode="0.0000"/>
    </dxf>
    <dxf>
      <font>
        <b/>
        <i val="0"/>
        <strike val="0"/>
        <condense val="0"/>
        <extend val="0"/>
        <outline val="0"/>
        <shadow val="0"/>
        <u val="none"/>
        <vertAlign val="baseline"/>
        <sz val="11"/>
        <color theme="1"/>
        <name val="Calibri"/>
        <family val="2"/>
        <scheme val="minor"/>
      </font>
    </dxf>
    <dxf>
      <alignment horizontal="center" vertical="bottom" textRotation="0" wrapText="1" indent="0" justifyLastLine="0" shrinkToFit="0" readingOrder="0"/>
    </dxf>
    <dxf>
      <numFmt numFmtId="164" formatCode="0.0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center" vertical="bottom" textRotation="0" wrapText="1" indent="0" justifyLastLine="0" shrinkToFit="0" readingOrder="0"/>
    </dxf>
    <dxf>
      <numFmt numFmtId="164" formatCode="0.0000"/>
    </dxf>
    <dxf>
      <font>
        <b/>
        <i val="0"/>
        <strike val="0"/>
        <condense val="0"/>
        <extend val="0"/>
        <outline val="0"/>
        <shadow val="0"/>
        <u val="none"/>
        <vertAlign val="baseline"/>
        <sz val="11"/>
        <color theme="1"/>
        <name val="Calibri"/>
        <family val="2"/>
        <scheme val="minor"/>
      </fon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theme="4" tint="0.39997558519241921"/>
        </left>
      </border>
    </dxf>
  </dxfs>
  <tableStyles count="1" defaultTableStyle="TableStyleMedium2" defaultPivotStyle="PivotStyleMedium9">
    <tableStyle name="Invisible" pivot="0" table="0" count="0" xr9:uid="{7C1D2517-928D-43BA-B3E4-EFCE2C71A27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EE981-8440-432F-97FA-16D79217CEAF}" name="Table1" displayName="Table1" ref="A1:D91" totalsRowShown="0">
  <autoFilter ref="A1:D91" xr:uid="{019EE981-8440-432F-97FA-16D79217CEAF}"/>
  <tableColumns count="4">
    <tableColumn id="1" xr3:uid="{6942FA78-F744-4175-A8BE-CA9D0F964CF1}" name="Part"/>
    <tableColumn id="2" xr3:uid="{7EE2B951-7BDB-4A3D-AA22-6D36C668861E}" name="Operator"/>
    <tableColumn id="3" xr3:uid="{F065028E-685D-48D9-B7C5-232675F6D9BB}" name="Repetition"/>
    <tableColumn id="4" xr3:uid="{737A7258-DFDD-4305-B94F-4A4942DF6EB3}" name="Weight (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6C75B8-726A-45F4-BA55-01605D58772C}" name="Table2" displayName="Table2" ref="F1:I19" totalsRowShown="0" tableBorderDxfId="13">
  <autoFilter ref="F1:I19" xr:uid="{446C75B8-726A-45F4-BA55-01605D58772C}"/>
  <tableColumns count="4">
    <tableColumn id="1" xr3:uid="{B14BEC0B-404E-4B58-AED9-4EFF035A7517}" name="Pieza" dataDxfId="12"/>
    <tableColumn id="2" xr3:uid="{E20A9D67-6388-480F-BD10-3DD1DF1343E5}" name="Operador" dataDxfId="11"/>
    <tableColumn id="3" xr3:uid="{5A3A6528-046D-4F84-9DCC-FB9850A22E98}" name="Promedio" dataDxfId="10">
      <calculatedColumnFormula array="1">AVERAGE(_xlfn._xlws.FILTER($D$2:$D$91,($A$2:$A$91=F2)*(TRIM($B$2:$B$91)=TRIM(G2))))</calculatedColumnFormula>
    </tableColumn>
    <tableColumn id="4" xr3:uid="{BAAA1C52-1245-4040-9092-6B14F47F0A30}" name="Rango" dataDxfId="9">
      <calculatedColumnFormula>_xlfn.MAXIFS($D:$D,$A:$A,F2,$B:$B,"*"&amp;G2&amp;"*")-_xlfn.MINIFS($D:$D,$A:$A,F2,$B:$B,"*"&amp;G2&amp;"*")</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0AA7C1-E9B3-4F8C-AC92-037D707C6E1F}" name="Table3" displayName="Table3" ref="F31:H33" totalsRowShown="0" headerRowDxfId="8">
  <autoFilter ref="F31:H33" xr:uid="{B30AA7C1-E9B3-4F8C-AC92-037D707C6E1F}"/>
  <tableColumns count="3">
    <tableColumn id="1" xr3:uid="{37043B87-5AA3-4BD9-B772-D075520AA820}" name="Parameter"/>
    <tableColumn id="2" xr3:uid="{C8491C12-9AB9-472F-8981-8E34B0C89A02}" name="Valor" dataDxfId="7">
      <calculatedColumnFormula>G31* 0.403</calculatedColumnFormula>
    </tableColumn>
    <tableColumn id="3" xr3:uid="{760A7D09-5D5D-43F2-8A46-B0DB838F9C0E}" name="Notes" dataDxf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A76D68-543E-4C47-9BAF-0A3A3589E98C}" name="Table4" displayName="Table4" ref="F36:H39" totalsRowShown="0" headerRowDxfId="5">
  <autoFilter ref="F36:H39" xr:uid="{A8A76D68-543E-4C47-9BAF-0A3A3589E98C}"/>
  <tableColumns count="3">
    <tableColumn id="1" xr3:uid="{64A431C3-8199-4F9C-8DAB-4D92EDB1F43E}" name="Operator"/>
    <tableColumn id="2" xr3:uid="{E890FDC5-97EF-4A93-9372-BE579CF8C7CE}" name="Mean (g)"/>
    <tableColumn id="3" xr3:uid="{C435DD86-EDD5-4FA9-8867-F568228E19B1}"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B74008-2FE0-4AC6-ACA6-09EC9A21B1FA}" name="Table5" displayName="Table5" ref="F41:H43" totalsRowShown="0" headerRowDxfId="4">
  <autoFilter ref="F41:H43" xr:uid="{5BB74008-2FE0-4AC6-ACA6-09EC9A21B1FA}"/>
  <tableColumns count="3">
    <tableColumn id="1" xr3:uid="{8B6DE57D-B768-4983-9788-1F1A6867D98B}" name="Parameter"/>
    <tableColumn id="2" xr3:uid="{FA4F61F3-651D-41BF-A9BE-1E6051880CAE}" name="Value" dataDxfId="3">
      <calculatedColumnFormula>0.5231*G41</calculatedColumnFormula>
    </tableColumn>
    <tableColumn id="3" xr3:uid="{01E5EDB4-9E08-4418-A533-FA535A8C7EEF}" name="Notes" dataDxfId="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B6C34F-5B41-40C5-B0F8-6C946EC9FBBB}" name="Table6" displayName="Table6" ref="F46:H49" totalsRowShown="0" headerRowDxfId="1">
  <autoFilter ref="F46:H49" xr:uid="{1DB6C34F-5B41-40C5-B0F8-6C946EC9FBBB}"/>
  <tableColumns count="3">
    <tableColumn id="1" xr3:uid="{4DD905CA-684B-4634-9F2E-3790A7A7C1B5}" name="Parameter"/>
    <tableColumn id="2" xr3:uid="{7F3D4715-FD95-4A79-8C76-43063D070590}" name="Value" dataDxfId="0"/>
    <tableColumn id="3" xr3:uid="{B6D3CEDE-797D-4E66-B78A-B48EBB0D731A}" name="Not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tabSelected="1" topLeftCell="A30" zoomScale="102" workbookViewId="0">
      <selection activeCell="I42" sqref="I42"/>
    </sheetView>
  </sheetViews>
  <sheetFormatPr defaultRowHeight="14.4" x14ac:dyDescent="0.3"/>
  <cols>
    <col min="1" max="1" width="11.33203125" customWidth="1"/>
    <col min="2" max="3" width="18.109375" customWidth="1"/>
    <col min="4" max="4" width="33.44140625" customWidth="1"/>
    <col min="6" max="6" width="23" bestFit="1" customWidth="1"/>
    <col min="7" max="7" width="15.6640625" customWidth="1"/>
    <col min="8" max="8" width="29.44140625" bestFit="1" customWidth="1"/>
    <col min="9" max="9" width="23" bestFit="1" customWidth="1"/>
    <col min="10" max="11" width="12.88671875" bestFit="1" customWidth="1"/>
  </cols>
  <sheetData>
    <row r="1" spans="1:9" x14ac:dyDescent="0.3">
      <c r="A1" t="s">
        <v>0</v>
      </c>
      <c r="B1" t="s">
        <v>1</v>
      </c>
      <c r="C1" t="s">
        <v>8</v>
      </c>
      <c r="D1" t="s">
        <v>12</v>
      </c>
      <c r="F1" s="14" t="s">
        <v>35</v>
      </c>
      <c r="G1" s="14" t="s">
        <v>36</v>
      </c>
      <c r="H1" t="s">
        <v>37</v>
      </c>
      <c r="I1" t="s">
        <v>38</v>
      </c>
    </row>
    <row r="2" spans="1:9" x14ac:dyDescent="0.3">
      <c r="A2" t="s">
        <v>2</v>
      </c>
      <c r="B2" t="s">
        <v>9</v>
      </c>
      <c r="C2">
        <v>1</v>
      </c>
      <c r="D2">
        <v>2.76</v>
      </c>
      <c r="F2" s="15" t="s">
        <v>2</v>
      </c>
      <c r="G2" s="15" t="s">
        <v>9</v>
      </c>
      <c r="H2" s="16" cm="1">
        <f t="array" ref="H2">AVERAGE(_xlfn._xlws.FILTER($D$2:$D$91,($A$2:$A$91=F2)*(TRIM($B$2:$B$91)=TRIM(G2))))</f>
        <v>2.7039999999999997</v>
      </c>
      <c r="I2" s="16">
        <f>_xlfn.MAXIFS($D:$D,$A:$A,F2,$B:$B,"*"&amp;G2&amp;"*")-_xlfn.MINIFS($D:$D,$A:$A,F2,$B:$B,"*"&amp;G2&amp;"*")</f>
        <v>0.25</v>
      </c>
    </row>
    <row r="3" spans="1:9" x14ac:dyDescent="0.3">
      <c r="A3" t="s">
        <v>2</v>
      </c>
      <c r="B3" t="s">
        <v>9</v>
      </c>
      <c r="C3">
        <v>2</v>
      </c>
      <c r="D3">
        <v>2.76</v>
      </c>
      <c r="F3" s="15" t="s">
        <v>2</v>
      </c>
      <c r="G3" s="16" t="s">
        <v>13</v>
      </c>
      <c r="H3" s="16" cm="1">
        <f t="array" ref="H3">AVERAGE(_xlfn._xlws.FILTER($D$2:$D$91,($A$2:$A$91=F3)*(TRIM($B$2:$B$91)=TRIM(G3))))</f>
        <v>2.7060000000000004</v>
      </c>
      <c r="I3" s="16">
        <f t="shared" ref="I3:I19" si="0">_xlfn.MAXIFS($D:$D,$A:$A,F3,$B:$B,"*"&amp;G3&amp;"*")-_xlfn.MINIFS($D:$D,$A:$A,F3,$B:$B,"*"&amp;G3&amp;"*")</f>
        <v>0.23999999999999977</v>
      </c>
    </row>
    <row r="4" spans="1:9" x14ac:dyDescent="0.3">
      <c r="A4" t="s">
        <v>2</v>
      </c>
      <c r="B4" t="s">
        <v>9</v>
      </c>
      <c r="C4">
        <v>3</v>
      </c>
      <c r="D4">
        <v>2.5099999999999998</v>
      </c>
      <c r="F4" s="15" t="s">
        <v>2</v>
      </c>
      <c r="G4" s="15" t="s">
        <v>11</v>
      </c>
      <c r="H4" s="16" cm="1">
        <f t="array" ref="H4">AVERAGE(_xlfn._xlws.FILTER($D$2:$D$91,($A$2:$A$91=F4)*(TRIM($B$2:$B$91)=TRIM(G4))))</f>
        <v>2.7</v>
      </c>
      <c r="I4" s="16">
        <f t="shared" si="0"/>
        <v>0.25999999999999979</v>
      </c>
    </row>
    <row r="5" spans="1:9" x14ac:dyDescent="0.3">
      <c r="A5" t="s">
        <v>2</v>
      </c>
      <c r="B5" t="s">
        <v>9</v>
      </c>
      <c r="C5">
        <v>4</v>
      </c>
      <c r="D5">
        <v>2.75</v>
      </c>
      <c r="F5" s="16" t="s">
        <v>3</v>
      </c>
      <c r="G5" s="16" t="s">
        <v>9</v>
      </c>
      <c r="H5" s="16" cm="1">
        <f t="array" ref="H5">AVERAGE(_xlfn._xlws.FILTER($D$2:$D$91,($A$2:$A$91=F5)*(TRIM($B$2:$B$91)=TRIM(G5))))</f>
        <v>4.032</v>
      </c>
      <c r="I5" s="16">
        <f t="shared" si="0"/>
        <v>8.9999999999999858E-2</v>
      </c>
    </row>
    <row r="6" spans="1:9" x14ac:dyDescent="0.3">
      <c r="A6" t="s">
        <v>2</v>
      </c>
      <c r="B6" t="s">
        <v>9</v>
      </c>
      <c r="C6">
        <v>5</v>
      </c>
      <c r="D6">
        <v>2.74</v>
      </c>
      <c r="F6" s="16" t="s">
        <v>3</v>
      </c>
      <c r="G6" s="15" t="s">
        <v>13</v>
      </c>
      <c r="H6" s="16" cm="1">
        <f t="array" ref="H6">AVERAGE(_xlfn._xlws.FILTER($D$2:$D$91,($A$2:$A$91=F6)*(TRIM($B$2:$B$91)=TRIM(G6))))</f>
        <v>4.0340000000000007</v>
      </c>
      <c r="I6" s="16">
        <f t="shared" si="0"/>
        <v>3.0000000000000249E-2</v>
      </c>
    </row>
    <row r="7" spans="1:9" x14ac:dyDescent="0.3">
      <c r="A7" t="s">
        <v>2</v>
      </c>
      <c r="B7" t="s">
        <v>13</v>
      </c>
      <c r="C7">
        <v>1</v>
      </c>
      <c r="D7">
        <v>2.73</v>
      </c>
      <c r="F7" s="16" t="s">
        <v>3</v>
      </c>
      <c r="G7" s="16" t="s">
        <v>11</v>
      </c>
      <c r="H7" s="16" cm="1">
        <f t="array" ref="H7">AVERAGE(_xlfn._xlws.FILTER($D$2:$D$91,($A$2:$A$91=F7)*(TRIM($B$2:$B$91)=TRIM(G7))))</f>
        <v>4.0319999999999991</v>
      </c>
      <c r="I7" s="16">
        <f t="shared" si="0"/>
        <v>3.0000000000000249E-2</v>
      </c>
    </row>
    <row r="8" spans="1:9" x14ac:dyDescent="0.3">
      <c r="A8" t="s">
        <v>2</v>
      </c>
      <c r="B8" t="s">
        <v>13</v>
      </c>
      <c r="C8">
        <v>2</v>
      </c>
      <c r="D8">
        <v>2.78</v>
      </c>
      <c r="F8" s="15" t="s">
        <v>4</v>
      </c>
      <c r="G8" s="15" t="s">
        <v>9</v>
      </c>
      <c r="H8" s="16" cm="1">
        <f t="array" ref="H8">AVERAGE(_xlfn._xlws.FILTER($D$2:$D$91,($A$2:$A$91=F8)*(TRIM($B$2:$B$91)=TRIM(G8))))</f>
        <v>0.97399999999999998</v>
      </c>
      <c r="I8" s="16">
        <f t="shared" si="0"/>
        <v>8.0000000000000071E-2</v>
      </c>
    </row>
    <row r="9" spans="1:9" x14ac:dyDescent="0.3">
      <c r="A9" t="s">
        <v>2</v>
      </c>
      <c r="B9" t="s">
        <v>13</v>
      </c>
      <c r="C9">
        <v>3</v>
      </c>
      <c r="D9">
        <v>2.54</v>
      </c>
      <c r="F9" s="15" t="s">
        <v>4</v>
      </c>
      <c r="G9" s="16" t="s">
        <v>13</v>
      </c>
      <c r="H9" s="16" cm="1">
        <f t="array" ref="H9">AVERAGE(_xlfn._xlws.FILTER($D$2:$D$91,($A$2:$A$91=F9)*(TRIM($B$2:$B$91)=TRIM(G9))))</f>
        <v>0.98799999999999988</v>
      </c>
      <c r="I9" s="16">
        <f t="shared" si="0"/>
        <v>4.0000000000000036E-2</v>
      </c>
    </row>
    <row r="10" spans="1:9" x14ac:dyDescent="0.3">
      <c r="A10" t="s">
        <v>2</v>
      </c>
      <c r="B10" t="s">
        <v>13</v>
      </c>
      <c r="C10">
        <v>4</v>
      </c>
      <c r="D10">
        <v>2.75</v>
      </c>
      <c r="F10" s="15" t="s">
        <v>4</v>
      </c>
      <c r="G10" s="15" t="s">
        <v>11</v>
      </c>
      <c r="H10" s="16" cm="1">
        <f t="array" ref="H10">AVERAGE(_xlfn._xlws.FILTER($D$2:$D$91,($A$2:$A$91=F10)*(TRIM($B$2:$B$91)=TRIM(G10))))</f>
        <v>0.98599999999999999</v>
      </c>
      <c r="I10" s="16">
        <f t="shared" si="0"/>
        <v>3.0000000000000027E-2</v>
      </c>
    </row>
    <row r="11" spans="1:9" x14ac:dyDescent="0.3">
      <c r="A11" t="s">
        <v>2</v>
      </c>
      <c r="B11" t="s">
        <v>10</v>
      </c>
      <c r="C11">
        <v>5</v>
      </c>
      <c r="D11">
        <v>2.73</v>
      </c>
      <c r="F11" s="16" t="s">
        <v>5</v>
      </c>
      <c r="G11" s="16" t="s">
        <v>9</v>
      </c>
      <c r="H11" s="16" cm="1">
        <f t="array" ref="H11">AVERAGE(_xlfn._xlws.FILTER($D$2:$D$91,($A$2:$A$91=F11)*(TRIM($B$2:$B$91)=TRIM(G11))))</f>
        <v>4.5280000000000005</v>
      </c>
      <c r="I11" s="16">
        <f t="shared" si="0"/>
        <v>9.9999999999999645E-2</v>
      </c>
    </row>
    <row r="12" spans="1:9" x14ac:dyDescent="0.3">
      <c r="A12" t="s">
        <v>2</v>
      </c>
      <c r="B12" t="s">
        <v>11</v>
      </c>
      <c r="C12">
        <v>1</v>
      </c>
      <c r="D12" s="1">
        <v>2.78</v>
      </c>
      <c r="F12" s="16" t="s">
        <v>5</v>
      </c>
      <c r="G12" s="15" t="s">
        <v>13</v>
      </c>
      <c r="H12" s="16" cm="1">
        <f t="array" ref="H12">AVERAGE(_xlfn._xlws.FILTER($D$2:$D$91,($A$2:$A$91=F12)*(TRIM($B$2:$B$91)=TRIM(G12))))</f>
        <v>4.5519999999999996</v>
      </c>
      <c r="I12" s="16">
        <f t="shared" si="0"/>
        <v>0.11999999999999922</v>
      </c>
    </row>
    <row r="13" spans="1:9" x14ac:dyDescent="0.3">
      <c r="A13" t="s">
        <v>2</v>
      </c>
      <c r="B13" t="s">
        <v>11</v>
      </c>
      <c r="C13">
        <v>2</v>
      </c>
      <c r="D13">
        <v>2.52</v>
      </c>
      <c r="F13" s="16" t="s">
        <v>5</v>
      </c>
      <c r="G13" s="16" t="s">
        <v>11</v>
      </c>
      <c r="H13" s="16" cm="1">
        <f t="array" ref="H13">AVERAGE(_xlfn._xlws.FILTER($D$2:$D$91,($A$2:$A$91=F13)*(TRIM($B$2:$B$91)=TRIM(G13))))</f>
        <v>4.556</v>
      </c>
      <c r="I13" s="16">
        <f t="shared" si="0"/>
        <v>0.10999999999999943</v>
      </c>
    </row>
    <row r="14" spans="1:9" x14ac:dyDescent="0.3">
      <c r="A14" t="s">
        <v>2</v>
      </c>
      <c r="B14" t="s">
        <v>11</v>
      </c>
      <c r="C14">
        <v>3</v>
      </c>
      <c r="D14">
        <v>2.72</v>
      </c>
      <c r="F14" s="15" t="s">
        <v>6</v>
      </c>
      <c r="G14" s="15" t="s">
        <v>9</v>
      </c>
      <c r="H14" s="16" cm="1">
        <f t="array" ref="H14">AVERAGE(_xlfn._xlws.FILTER($D$2:$D$91,($A$2:$A$91=F14)*(TRIM($B$2:$B$91)=TRIM(G14))))</f>
        <v>1.1440000000000001</v>
      </c>
      <c r="I14" s="16">
        <f t="shared" si="0"/>
        <v>4.9999999999999822E-2</v>
      </c>
    </row>
    <row r="15" spans="1:9" x14ac:dyDescent="0.3">
      <c r="A15" t="s">
        <v>2</v>
      </c>
      <c r="B15" t="s">
        <v>11</v>
      </c>
      <c r="C15">
        <v>4</v>
      </c>
      <c r="D15">
        <v>2.75</v>
      </c>
      <c r="F15" s="15" t="s">
        <v>6</v>
      </c>
      <c r="G15" s="16" t="s">
        <v>13</v>
      </c>
      <c r="H15" s="16" cm="1">
        <f t="array" ref="H15">AVERAGE(_xlfn._xlws.FILTER($D$2:$D$91,($A$2:$A$91=F15)*(TRIM($B$2:$B$91)=TRIM(G15))))</f>
        <v>1.1759999999999997</v>
      </c>
      <c r="I15" s="16">
        <f t="shared" si="0"/>
        <v>3.0000000000000027E-2</v>
      </c>
    </row>
    <row r="16" spans="1:9" x14ac:dyDescent="0.3">
      <c r="A16" t="s">
        <v>2</v>
      </c>
      <c r="B16" t="s">
        <v>11</v>
      </c>
      <c r="C16">
        <v>5</v>
      </c>
      <c r="D16">
        <v>2.73</v>
      </c>
      <c r="F16" s="15" t="s">
        <v>6</v>
      </c>
      <c r="G16" s="15" t="s">
        <v>11</v>
      </c>
      <c r="H16" s="16" cm="1">
        <f t="array" ref="H16">AVERAGE(_xlfn._xlws.FILTER($D$2:$D$91,($A$2:$A$91=F16)*(TRIM($B$2:$B$91)=TRIM(G16))))</f>
        <v>1.17</v>
      </c>
      <c r="I16" s="16">
        <f t="shared" si="0"/>
        <v>2.0000000000000018E-2</v>
      </c>
    </row>
    <row r="17" spans="1:10" x14ac:dyDescent="0.3">
      <c r="A17" t="s">
        <v>3</v>
      </c>
      <c r="B17" t="s">
        <v>9</v>
      </c>
      <c r="C17">
        <v>1</v>
      </c>
      <c r="D17">
        <v>3.99</v>
      </c>
      <c r="F17" s="16" t="s">
        <v>7</v>
      </c>
      <c r="G17" s="16" t="s">
        <v>9</v>
      </c>
      <c r="H17" s="16" cm="1">
        <f t="array" ref="H17">AVERAGE(_xlfn._xlws.FILTER($D$2:$D$91,($A$2:$A$91=F17)*(TRIM($B$2:$B$91)=TRIM(G17))))</f>
        <v>1.3919999999999999</v>
      </c>
      <c r="I17" s="16">
        <f t="shared" si="0"/>
        <v>0.10999999999999988</v>
      </c>
    </row>
    <row r="18" spans="1:10" x14ac:dyDescent="0.3">
      <c r="A18" t="s">
        <v>3</v>
      </c>
      <c r="B18" t="s">
        <v>9</v>
      </c>
      <c r="C18">
        <v>2</v>
      </c>
      <c r="D18">
        <v>4.05</v>
      </c>
      <c r="F18" s="16" t="s">
        <v>7</v>
      </c>
      <c r="G18" s="15" t="s">
        <v>13</v>
      </c>
      <c r="H18" s="16" cm="1">
        <f t="array" ref="H18">AVERAGE(_xlfn._xlws.FILTER($D$2:$D$91,($A$2:$A$91=F18)*(TRIM($B$2:$B$91)=TRIM(G18))))</f>
        <v>1.304</v>
      </c>
      <c r="I18" s="16">
        <f t="shared" si="0"/>
        <v>0.2799999999999998</v>
      </c>
    </row>
    <row r="19" spans="1:10" x14ac:dyDescent="0.3">
      <c r="A19" t="s">
        <v>3</v>
      </c>
      <c r="B19" t="s">
        <v>9</v>
      </c>
      <c r="C19">
        <v>3</v>
      </c>
      <c r="D19">
        <v>4.08</v>
      </c>
      <c r="F19" s="16" t="s">
        <v>7</v>
      </c>
      <c r="G19" s="16" t="s">
        <v>11</v>
      </c>
      <c r="H19" s="16" cm="1">
        <f t="array" ref="H19">AVERAGE(_xlfn._xlws.FILTER($D$2:$D$91,($A$2:$A$91=F19)*(TRIM($B$2:$B$91)=TRIM(G19))))</f>
        <v>1.3679999999999999</v>
      </c>
      <c r="I19" s="16">
        <f t="shared" si="0"/>
        <v>7.9999999999999849E-2</v>
      </c>
    </row>
    <row r="20" spans="1:10" x14ac:dyDescent="0.3">
      <c r="A20" t="s">
        <v>3</v>
      </c>
      <c r="B20" t="s">
        <v>9</v>
      </c>
      <c r="C20">
        <v>4</v>
      </c>
      <c r="D20">
        <v>4.01</v>
      </c>
    </row>
    <row r="21" spans="1:10" x14ac:dyDescent="0.3">
      <c r="A21" t="s">
        <v>3</v>
      </c>
      <c r="B21" t="s">
        <v>9</v>
      </c>
      <c r="C21">
        <v>5</v>
      </c>
      <c r="D21">
        <v>4.03</v>
      </c>
    </row>
    <row r="22" spans="1:10" x14ac:dyDescent="0.3">
      <c r="A22" t="s">
        <v>3</v>
      </c>
      <c r="B22" t="s">
        <v>10</v>
      </c>
      <c r="C22">
        <v>1</v>
      </c>
      <c r="D22">
        <v>4.0199999999999996</v>
      </c>
    </row>
    <row r="23" spans="1:10" x14ac:dyDescent="0.3">
      <c r="A23" t="s">
        <v>3</v>
      </c>
      <c r="B23" t="s">
        <v>10</v>
      </c>
      <c r="C23">
        <v>2</v>
      </c>
      <c r="D23">
        <v>4.04</v>
      </c>
    </row>
    <row r="24" spans="1:10" x14ac:dyDescent="0.3">
      <c r="A24" t="s">
        <v>3</v>
      </c>
      <c r="B24" t="s">
        <v>10</v>
      </c>
      <c r="C24">
        <v>3</v>
      </c>
      <c r="D24">
        <v>4.03</v>
      </c>
    </row>
    <row r="25" spans="1:10" x14ac:dyDescent="0.3">
      <c r="A25" t="s">
        <v>3</v>
      </c>
      <c r="B25" t="s">
        <v>10</v>
      </c>
      <c r="C25">
        <v>4</v>
      </c>
      <c r="D25">
        <v>4.05</v>
      </c>
    </row>
    <row r="26" spans="1:10" x14ac:dyDescent="0.3">
      <c r="A26" t="s">
        <v>3</v>
      </c>
      <c r="B26" t="s">
        <v>10</v>
      </c>
      <c r="C26">
        <v>5</v>
      </c>
      <c r="D26">
        <v>4.03</v>
      </c>
    </row>
    <row r="27" spans="1:10" x14ac:dyDescent="0.3">
      <c r="A27" t="s">
        <v>3</v>
      </c>
      <c r="B27" t="s">
        <v>11</v>
      </c>
      <c r="C27">
        <v>1</v>
      </c>
      <c r="D27">
        <v>4.01</v>
      </c>
      <c r="H27" s="2"/>
      <c r="I27" s="2"/>
      <c r="J27" s="2"/>
    </row>
    <row r="28" spans="1:10" ht="15" thickBot="1" x14ac:dyDescent="0.35">
      <c r="A28" t="s">
        <v>3</v>
      </c>
      <c r="B28" t="s">
        <v>11</v>
      </c>
      <c r="C28">
        <v>2</v>
      </c>
      <c r="D28">
        <v>4.03</v>
      </c>
    </row>
    <row r="29" spans="1:10" ht="21" x14ac:dyDescent="0.4">
      <c r="A29" t="s">
        <v>3</v>
      </c>
      <c r="B29" t="s">
        <v>11</v>
      </c>
      <c r="C29">
        <v>3</v>
      </c>
      <c r="D29">
        <v>4.04</v>
      </c>
      <c r="F29" s="22" t="s">
        <v>16</v>
      </c>
      <c r="G29" s="23"/>
      <c r="H29" s="24"/>
    </row>
    <row r="30" spans="1:10" ht="18" x14ac:dyDescent="0.35">
      <c r="A30" t="s">
        <v>3</v>
      </c>
      <c r="B30" t="s">
        <v>11</v>
      </c>
      <c r="C30">
        <v>4</v>
      </c>
      <c r="D30">
        <v>4.04</v>
      </c>
      <c r="F30" s="18" t="s">
        <v>20</v>
      </c>
      <c r="G30" s="19"/>
      <c r="H30" s="20"/>
    </row>
    <row r="31" spans="1:10" x14ac:dyDescent="0.3">
      <c r="A31" t="s">
        <v>3</v>
      </c>
      <c r="B31" t="s">
        <v>11</v>
      </c>
      <c r="C31">
        <v>5</v>
      </c>
      <c r="D31">
        <v>4.04</v>
      </c>
      <c r="F31" s="4" t="s">
        <v>25</v>
      </c>
      <c r="G31" s="3" t="s">
        <v>19</v>
      </c>
      <c r="H31" s="5" t="s">
        <v>18</v>
      </c>
    </row>
    <row r="32" spans="1:10" x14ac:dyDescent="0.3">
      <c r="A32" t="s">
        <v>4</v>
      </c>
      <c r="B32" t="s">
        <v>9</v>
      </c>
      <c r="C32">
        <v>1</v>
      </c>
      <c r="D32">
        <v>0.95</v>
      </c>
      <c r="F32" s="6" t="s">
        <v>14</v>
      </c>
      <c r="G32" s="2">
        <f>AVERAGE(I2:I19)</f>
        <v>0.10833333333333321</v>
      </c>
      <c r="H32" s="7"/>
    </row>
    <row r="33" spans="1:10" x14ac:dyDescent="0.3">
      <c r="A33" t="s">
        <v>4</v>
      </c>
      <c r="B33" t="s">
        <v>9</v>
      </c>
      <c r="C33">
        <v>2</v>
      </c>
      <c r="D33">
        <v>1.02</v>
      </c>
      <c r="F33" s="6" t="s">
        <v>17</v>
      </c>
      <c r="G33" s="2">
        <f>G32* 0.428</f>
        <v>4.6366666666666612E-2</v>
      </c>
      <c r="H33" s="7" t="s">
        <v>34</v>
      </c>
      <c r="J33" t="s">
        <v>39</v>
      </c>
    </row>
    <row r="34" spans="1:10" x14ac:dyDescent="0.3">
      <c r="A34" t="s">
        <v>4</v>
      </c>
      <c r="B34" t="s">
        <v>9</v>
      </c>
      <c r="C34">
        <v>3</v>
      </c>
      <c r="D34">
        <v>0.94</v>
      </c>
      <c r="F34" s="11"/>
      <c r="G34" s="12"/>
      <c r="H34" s="13"/>
    </row>
    <row r="35" spans="1:10" ht="18" x14ac:dyDescent="0.35">
      <c r="A35" t="s">
        <v>4</v>
      </c>
      <c r="B35" t="s">
        <v>9</v>
      </c>
      <c r="C35">
        <v>4</v>
      </c>
      <c r="D35">
        <v>0.97</v>
      </c>
      <c r="F35" s="18" t="s">
        <v>21</v>
      </c>
      <c r="G35" s="19"/>
      <c r="H35" s="20"/>
    </row>
    <row r="36" spans="1:10" x14ac:dyDescent="0.3">
      <c r="A36" t="s">
        <v>4</v>
      </c>
      <c r="B36" t="s">
        <v>9</v>
      </c>
      <c r="C36">
        <v>5</v>
      </c>
      <c r="D36">
        <v>0.99</v>
      </c>
      <c r="F36" s="4" t="s">
        <v>1</v>
      </c>
      <c r="G36" s="3" t="s">
        <v>24</v>
      </c>
      <c r="H36" s="5" t="s">
        <v>18</v>
      </c>
    </row>
    <row r="37" spans="1:10" x14ac:dyDescent="0.3">
      <c r="A37" t="s">
        <v>4</v>
      </c>
      <c r="B37" t="s">
        <v>10</v>
      </c>
      <c r="C37">
        <v>1</v>
      </c>
      <c r="D37">
        <v>0.99</v>
      </c>
      <c r="F37" s="6" t="s">
        <v>9</v>
      </c>
      <c r="G37" s="2">
        <f>AVERAGEIF(G2:G19,"Ian",H2:H19)</f>
        <v>2.462333333333333</v>
      </c>
      <c r="H37" s="8"/>
    </row>
    <row r="38" spans="1:10" x14ac:dyDescent="0.3">
      <c r="A38" t="s">
        <v>4</v>
      </c>
      <c r="B38" t="s">
        <v>10</v>
      </c>
      <c r="C38">
        <v>2</v>
      </c>
      <c r="D38">
        <v>0.99</v>
      </c>
      <c r="F38" s="6" t="s">
        <v>22</v>
      </c>
      <c r="G38" s="2">
        <f>AVERAGEIF(G2:G19,"Ruben",H2:H19)</f>
        <v>2.4600000000000004</v>
      </c>
      <c r="H38" s="8"/>
    </row>
    <row r="39" spans="1:10" x14ac:dyDescent="0.3">
      <c r="A39" t="s">
        <v>4</v>
      </c>
      <c r="B39" t="s">
        <v>13</v>
      </c>
      <c r="C39">
        <v>3</v>
      </c>
      <c r="D39">
        <v>0.97</v>
      </c>
      <c r="F39" s="6" t="s">
        <v>23</v>
      </c>
      <c r="G39" s="2">
        <f>AVERAGEIF(G2:G19,"Jose Luis",H2:H19)</f>
        <v>2.4686666666666666</v>
      </c>
      <c r="H39" s="8"/>
    </row>
    <row r="40" spans="1:10" x14ac:dyDescent="0.3">
      <c r="A40" t="s">
        <v>4</v>
      </c>
      <c r="B40" t="s">
        <v>10</v>
      </c>
      <c r="C40">
        <v>4</v>
      </c>
      <c r="D40">
        <v>1.01</v>
      </c>
      <c r="F40" s="11"/>
      <c r="G40" s="12"/>
      <c r="H40" s="13"/>
    </row>
    <row r="41" spans="1:10" x14ac:dyDescent="0.3">
      <c r="A41" t="s">
        <v>4</v>
      </c>
      <c r="B41" t="s">
        <v>10</v>
      </c>
      <c r="C41">
        <v>5</v>
      </c>
      <c r="D41">
        <v>0.98</v>
      </c>
      <c r="F41" s="4" t="s">
        <v>25</v>
      </c>
      <c r="G41" s="3" t="s">
        <v>26</v>
      </c>
      <c r="H41" s="5" t="s">
        <v>18</v>
      </c>
    </row>
    <row r="42" spans="1:10" ht="28.8" x14ac:dyDescent="0.3">
      <c r="A42" t="s">
        <v>4</v>
      </c>
      <c r="B42" t="s">
        <v>11</v>
      </c>
      <c r="C42">
        <v>1</v>
      </c>
      <c r="D42">
        <v>1</v>
      </c>
      <c r="F42" s="6" t="s">
        <v>27</v>
      </c>
      <c r="G42" s="2">
        <f>MAX(G37:G39)-MIN(G37:G39)</f>
        <v>8.6666666666661563E-3</v>
      </c>
      <c r="H42" s="7" t="s">
        <v>28</v>
      </c>
    </row>
    <row r="43" spans="1:10" x14ac:dyDescent="0.3">
      <c r="A43" t="s">
        <v>4</v>
      </c>
      <c r="B43" t="s">
        <v>11</v>
      </c>
      <c r="C43">
        <v>2</v>
      </c>
      <c r="D43">
        <v>0.99</v>
      </c>
      <c r="F43" s="6" t="s">
        <v>15</v>
      </c>
      <c r="G43" s="2">
        <f>0.523*G42</f>
        <v>4.5326666666664003E-3</v>
      </c>
      <c r="H43" s="7"/>
    </row>
    <row r="44" spans="1:10" x14ac:dyDescent="0.3">
      <c r="A44" t="s">
        <v>4</v>
      </c>
      <c r="B44" t="s">
        <v>11</v>
      </c>
      <c r="C44">
        <v>3</v>
      </c>
      <c r="D44">
        <v>0.97</v>
      </c>
      <c r="F44" s="11"/>
      <c r="G44" s="12"/>
      <c r="H44" s="13"/>
    </row>
    <row r="45" spans="1:10" ht="18" x14ac:dyDescent="0.35">
      <c r="A45" t="s">
        <v>4</v>
      </c>
      <c r="B45" t="s">
        <v>11</v>
      </c>
      <c r="C45">
        <v>4</v>
      </c>
      <c r="D45">
        <v>0.99</v>
      </c>
      <c r="F45" s="18" t="s">
        <v>29</v>
      </c>
      <c r="G45" s="19"/>
      <c r="H45" s="20"/>
    </row>
    <row r="46" spans="1:10" x14ac:dyDescent="0.3">
      <c r="A46" t="s">
        <v>4</v>
      </c>
      <c r="B46" t="s">
        <v>11</v>
      </c>
      <c r="C46">
        <v>5</v>
      </c>
      <c r="D46">
        <v>0.98</v>
      </c>
      <c r="F46" s="4" t="s">
        <v>25</v>
      </c>
      <c r="G46" s="3" t="s">
        <v>26</v>
      </c>
      <c r="H46" s="5" t="s">
        <v>18</v>
      </c>
    </row>
    <row r="47" spans="1:10" x14ac:dyDescent="0.3">
      <c r="A47" t="s">
        <v>5</v>
      </c>
      <c r="B47" t="s">
        <v>9</v>
      </c>
      <c r="C47">
        <v>1</v>
      </c>
      <c r="D47">
        <v>4.4800000000000004</v>
      </c>
      <c r="F47" s="6" t="s">
        <v>30</v>
      </c>
      <c r="G47" s="2">
        <f>SQRT(G33^2 + G43^2)</f>
        <v>4.6587689842799471E-2</v>
      </c>
      <c r="H47" s="8"/>
    </row>
    <row r="48" spans="1:10" x14ac:dyDescent="0.3">
      <c r="A48" t="s">
        <v>5</v>
      </c>
      <c r="B48" t="s">
        <v>9</v>
      </c>
      <c r="C48">
        <v>2</v>
      </c>
      <c r="D48">
        <v>4.55</v>
      </c>
      <c r="F48" s="6" t="s">
        <v>31</v>
      </c>
      <c r="G48" s="2">
        <f>_xlfn.STDEV.S(D:D)</f>
        <v>1.4211772695412326</v>
      </c>
      <c r="H48" s="8"/>
    </row>
    <row r="49" spans="1:8" ht="15" thickBot="1" x14ac:dyDescent="0.35">
      <c r="A49" t="s">
        <v>5</v>
      </c>
      <c r="B49" t="s">
        <v>9</v>
      </c>
      <c r="C49">
        <v>3</v>
      </c>
      <c r="D49">
        <v>4.5</v>
      </c>
      <c r="F49" s="9" t="s">
        <v>32</v>
      </c>
      <c r="G49" s="17">
        <f>(G47 /G48) * 100</f>
        <v>3.2781054722215162</v>
      </c>
      <c r="H49" s="10"/>
    </row>
    <row r="50" spans="1:8" x14ac:dyDescent="0.3">
      <c r="A50" t="s">
        <v>5</v>
      </c>
      <c r="B50" t="s">
        <v>9</v>
      </c>
      <c r="C50">
        <v>4</v>
      </c>
      <c r="D50">
        <v>4.53</v>
      </c>
    </row>
    <row r="51" spans="1:8" ht="18" x14ac:dyDescent="0.35">
      <c r="A51" t="s">
        <v>5</v>
      </c>
      <c r="B51" t="s">
        <v>9</v>
      </c>
      <c r="C51">
        <v>5</v>
      </c>
      <c r="D51">
        <v>4.58</v>
      </c>
      <c r="F51" s="19" t="s">
        <v>33</v>
      </c>
      <c r="G51" s="19"/>
      <c r="H51" s="19"/>
    </row>
    <row r="52" spans="1:8" ht="15" customHeight="1" x14ac:dyDescent="0.3">
      <c r="A52" t="s">
        <v>5</v>
      </c>
      <c r="B52" t="s">
        <v>10</v>
      </c>
      <c r="C52">
        <v>1</v>
      </c>
      <c r="D52">
        <v>4.4800000000000004</v>
      </c>
      <c r="F52" s="21" t="s">
        <v>40</v>
      </c>
      <c r="G52" s="21"/>
      <c r="H52" s="21"/>
    </row>
    <row r="53" spans="1:8" x14ac:dyDescent="0.3">
      <c r="A53" t="s">
        <v>5</v>
      </c>
      <c r="B53" t="s">
        <v>10</v>
      </c>
      <c r="C53">
        <v>2</v>
      </c>
      <c r="D53">
        <v>4.5999999999999996</v>
      </c>
      <c r="F53" s="21"/>
      <c r="G53" s="21"/>
      <c r="H53" s="21"/>
    </row>
    <row r="54" spans="1:8" x14ac:dyDescent="0.3">
      <c r="A54" t="s">
        <v>5</v>
      </c>
      <c r="B54" t="s">
        <v>10</v>
      </c>
      <c r="C54">
        <v>3</v>
      </c>
      <c r="D54">
        <v>4.57</v>
      </c>
      <c r="F54" s="21"/>
      <c r="G54" s="21"/>
      <c r="H54" s="21"/>
    </row>
    <row r="55" spans="1:8" x14ac:dyDescent="0.3">
      <c r="A55" t="s">
        <v>5</v>
      </c>
      <c r="B55" t="s">
        <v>10</v>
      </c>
      <c r="C55">
        <v>4</v>
      </c>
      <c r="D55">
        <v>4.53</v>
      </c>
      <c r="F55" s="21"/>
      <c r="G55" s="21"/>
      <c r="H55" s="21"/>
    </row>
    <row r="56" spans="1:8" x14ac:dyDescent="0.3">
      <c r="A56" t="s">
        <v>5</v>
      </c>
      <c r="B56" t="s">
        <v>10</v>
      </c>
      <c r="C56">
        <v>5</v>
      </c>
      <c r="D56">
        <v>4.58</v>
      </c>
    </row>
    <row r="57" spans="1:8" x14ac:dyDescent="0.3">
      <c r="A57" t="s">
        <v>5</v>
      </c>
      <c r="B57" t="s">
        <v>11</v>
      </c>
      <c r="C57">
        <v>1</v>
      </c>
      <c r="D57">
        <v>4.59</v>
      </c>
    </row>
    <row r="58" spans="1:8" x14ac:dyDescent="0.3">
      <c r="A58" t="s">
        <v>5</v>
      </c>
      <c r="B58" t="s">
        <v>11</v>
      </c>
      <c r="C58">
        <v>2</v>
      </c>
      <c r="D58">
        <v>4.55</v>
      </c>
    </row>
    <row r="59" spans="1:8" x14ac:dyDescent="0.3">
      <c r="A59" t="s">
        <v>5</v>
      </c>
      <c r="B59" t="s">
        <v>11</v>
      </c>
      <c r="C59">
        <v>3</v>
      </c>
      <c r="D59">
        <v>4.4800000000000004</v>
      </c>
    </row>
    <row r="60" spans="1:8" x14ac:dyDescent="0.3">
      <c r="A60" t="s">
        <v>5</v>
      </c>
      <c r="B60" t="s">
        <v>11</v>
      </c>
      <c r="C60">
        <v>4</v>
      </c>
      <c r="D60">
        <v>4.58</v>
      </c>
    </row>
    <row r="61" spans="1:8" x14ac:dyDescent="0.3">
      <c r="A61" t="s">
        <v>5</v>
      </c>
      <c r="B61" t="s">
        <v>11</v>
      </c>
      <c r="C61">
        <v>5</v>
      </c>
      <c r="D61">
        <v>4.58</v>
      </c>
    </row>
    <row r="62" spans="1:8" x14ac:dyDescent="0.3">
      <c r="A62" t="s">
        <v>6</v>
      </c>
      <c r="B62" t="s">
        <v>9</v>
      </c>
      <c r="C62">
        <v>1</v>
      </c>
      <c r="D62">
        <v>1.1200000000000001</v>
      </c>
    </row>
    <row r="63" spans="1:8" x14ac:dyDescent="0.3">
      <c r="A63" t="s">
        <v>6</v>
      </c>
      <c r="B63" t="s">
        <v>9</v>
      </c>
      <c r="C63">
        <v>2</v>
      </c>
      <c r="D63">
        <v>1.17</v>
      </c>
    </row>
    <row r="64" spans="1:8" x14ac:dyDescent="0.3">
      <c r="A64" t="s">
        <v>6</v>
      </c>
      <c r="B64" t="s">
        <v>9</v>
      </c>
      <c r="C64">
        <v>3</v>
      </c>
      <c r="D64">
        <v>1.1599999999999999</v>
      </c>
    </row>
    <row r="65" spans="1:4" x14ac:dyDescent="0.3">
      <c r="A65" t="s">
        <v>6</v>
      </c>
      <c r="B65" t="s">
        <v>9</v>
      </c>
      <c r="C65">
        <v>4</v>
      </c>
      <c r="D65">
        <v>1.1200000000000001</v>
      </c>
    </row>
    <row r="66" spans="1:4" x14ac:dyDescent="0.3">
      <c r="A66" t="s">
        <v>6</v>
      </c>
      <c r="B66" t="s">
        <v>9</v>
      </c>
      <c r="C66">
        <v>5</v>
      </c>
      <c r="D66">
        <v>1.1499999999999999</v>
      </c>
    </row>
    <row r="67" spans="1:4" x14ac:dyDescent="0.3">
      <c r="A67" t="s">
        <v>6</v>
      </c>
      <c r="B67" t="s">
        <v>10</v>
      </c>
      <c r="C67">
        <v>1</v>
      </c>
      <c r="D67">
        <v>1.1599999999999999</v>
      </c>
    </row>
    <row r="68" spans="1:4" x14ac:dyDescent="0.3">
      <c r="A68" t="s">
        <v>6</v>
      </c>
      <c r="B68" t="s">
        <v>10</v>
      </c>
      <c r="C68">
        <v>2</v>
      </c>
      <c r="D68">
        <v>1.19</v>
      </c>
    </row>
    <row r="69" spans="1:4" x14ac:dyDescent="0.3">
      <c r="A69" t="s">
        <v>6</v>
      </c>
      <c r="B69" t="s">
        <v>10</v>
      </c>
      <c r="C69">
        <v>3</v>
      </c>
      <c r="D69">
        <v>1.18</v>
      </c>
    </row>
    <row r="70" spans="1:4" x14ac:dyDescent="0.3">
      <c r="A70" t="s">
        <v>6</v>
      </c>
      <c r="B70" t="s">
        <v>10</v>
      </c>
      <c r="C70">
        <v>4</v>
      </c>
      <c r="D70">
        <v>1.1599999999999999</v>
      </c>
    </row>
    <row r="71" spans="1:4" x14ac:dyDescent="0.3">
      <c r="A71" t="s">
        <v>6</v>
      </c>
      <c r="B71" t="s">
        <v>10</v>
      </c>
      <c r="C71">
        <v>5</v>
      </c>
      <c r="D71">
        <v>1.19</v>
      </c>
    </row>
    <row r="72" spans="1:4" x14ac:dyDescent="0.3">
      <c r="A72" t="s">
        <v>6</v>
      </c>
      <c r="B72" t="s">
        <v>11</v>
      </c>
      <c r="C72">
        <v>1</v>
      </c>
      <c r="D72">
        <v>1.1599999999999999</v>
      </c>
    </row>
    <row r="73" spans="1:4" x14ac:dyDescent="0.3">
      <c r="A73" t="s">
        <v>6</v>
      </c>
      <c r="B73" t="s">
        <v>11</v>
      </c>
      <c r="C73">
        <v>2</v>
      </c>
      <c r="D73">
        <v>1.18</v>
      </c>
    </row>
    <row r="74" spans="1:4" x14ac:dyDescent="0.3">
      <c r="A74" t="s">
        <v>6</v>
      </c>
      <c r="B74" t="s">
        <v>11</v>
      </c>
      <c r="C74">
        <v>3</v>
      </c>
      <c r="D74">
        <v>1.1599999999999999</v>
      </c>
    </row>
    <row r="75" spans="1:4" x14ac:dyDescent="0.3">
      <c r="A75" t="s">
        <v>6</v>
      </c>
      <c r="B75" t="s">
        <v>11</v>
      </c>
      <c r="C75">
        <v>4</v>
      </c>
      <c r="D75">
        <v>1.17</v>
      </c>
    </row>
    <row r="76" spans="1:4" x14ac:dyDescent="0.3">
      <c r="A76" t="s">
        <v>6</v>
      </c>
      <c r="B76" t="s">
        <v>11</v>
      </c>
      <c r="C76">
        <v>5</v>
      </c>
      <c r="D76">
        <v>1.18</v>
      </c>
    </row>
    <row r="77" spans="1:4" x14ac:dyDescent="0.3">
      <c r="A77" t="s">
        <v>7</v>
      </c>
      <c r="B77" t="s">
        <v>9</v>
      </c>
      <c r="C77">
        <v>1</v>
      </c>
      <c r="D77">
        <v>1.37</v>
      </c>
    </row>
    <row r="78" spans="1:4" x14ac:dyDescent="0.3">
      <c r="A78" t="s">
        <v>7</v>
      </c>
      <c r="B78" t="s">
        <v>9</v>
      </c>
      <c r="C78">
        <v>2</v>
      </c>
      <c r="D78">
        <v>1.44</v>
      </c>
    </row>
    <row r="79" spans="1:4" x14ac:dyDescent="0.3">
      <c r="A79" t="s">
        <v>7</v>
      </c>
      <c r="B79" t="s">
        <v>9</v>
      </c>
      <c r="C79">
        <v>3</v>
      </c>
      <c r="D79">
        <v>1.33</v>
      </c>
    </row>
    <row r="80" spans="1:4" x14ac:dyDescent="0.3">
      <c r="A80" t="s">
        <v>7</v>
      </c>
      <c r="B80" t="s">
        <v>9</v>
      </c>
      <c r="C80">
        <v>4</v>
      </c>
      <c r="D80">
        <v>1.43</v>
      </c>
    </row>
    <row r="81" spans="1:4" x14ac:dyDescent="0.3">
      <c r="A81" t="s">
        <v>7</v>
      </c>
      <c r="B81" t="s">
        <v>9</v>
      </c>
      <c r="C81">
        <v>5</v>
      </c>
      <c r="D81">
        <v>1.39</v>
      </c>
    </row>
    <row r="82" spans="1:4" x14ac:dyDescent="0.3">
      <c r="A82" t="s">
        <v>7</v>
      </c>
      <c r="B82" t="s">
        <v>10</v>
      </c>
      <c r="C82">
        <v>1</v>
      </c>
      <c r="D82">
        <v>1.1000000000000001</v>
      </c>
    </row>
    <row r="83" spans="1:4" x14ac:dyDescent="0.3">
      <c r="A83" t="s">
        <v>7</v>
      </c>
      <c r="B83" t="s">
        <v>10</v>
      </c>
      <c r="C83">
        <v>2</v>
      </c>
      <c r="D83">
        <v>1.35</v>
      </c>
    </row>
    <row r="84" spans="1:4" x14ac:dyDescent="0.3">
      <c r="A84" t="s">
        <v>7</v>
      </c>
      <c r="B84" t="s">
        <v>10</v>
      </c>
      <c r="C84">
        <v>3</v>
      </c>
      <c r="D84">
        <v>1.38</v>
      </c>
    </row>
    <row r="85" spans="1:4" x14ac:dyDescent="0.3">
      <c r="A85" t="s">
        <v>7</v>
      </c>
      <c r="B85" t="s">
        <v>10</v>
      </c>
      <c r="C85">
        <v>4</v>
      </c>
      <c r="D85">
        <v>1.32</v>
      </c>
    </row>
    <row r="86" spans="1:4" x14ac:dyDescent="0.3">
      <c r="A86" t="s">
        <v>7</v>
      </c>
      <c r="B86" t="s">
        <v>10</v>
      </c>
      <c r="C86">
        <v>5</v>
      </c>
      <c r="D86">
        <v>1.37</v>
      </c>
    </row>
    <row r="87" spans="1:4" x14ac:dyDescent="0.3">
      <c r="A87" t="s">
        <v>7</v>
      </c>
      <c r="B87" t="s">
        <v>11</v>
      </c>
      <c r="C87">
        <v>1</v>
      </c>
      <c r="D87">
        <v>1.38</v>
      </c>
    </row>
    <row r="88" spans="1:4" x14ac:dyDescent="0.3">
      <c r="A88" t="s">
        <v>7</v>
      </c>
      <c r="B88" t="s">
        <v>11</v>
      </c>
      <c r="C88">
        <v>2</v>
      </c>
      <c r="D88">
        <v>1.38</v>
      </c>
    </row>
    <row r="89" spans="1:4" x14ac:dyDescent="0.3">
      <c r="A89" t="s">
        <v>7</v>
      </c>
      <c r="B89" t="s">
        <v>11</v>
      </c>
      <c r="C89">
        <v>3</v>
      </c>
      <c r="D89">
        <v>1.38</v>
      </c>
    </row>
    <row r="90" spans="1:4" x14ac:dyDescent="0.3">
      <c r="A90" t="s">
        <v>7</v>
      </c>
      <c r="B90" t="s">
        <v>11</v>
      </c>
      <c r="C90">
        <v>4</v>
      </c>
      <c r="D90">
        <v>1.39</v>
      </c>
    </row>
    <row r="91" spans="1:4" x14ac:dyDescent="0.3">
      <c r="A91" t="s">
        <v>7</v>
      </c>
      <c r="B91" t="s">
        <v>11</v>
      </c>
      <c r="C91">
        <v>5</v>
      </c>
      <c r="D91">
        <v>1.31</v>
      </c>
    </row>
  </sheetData>
  <mergeCells count="6">
    <mergeCell ref="F45:H45"/>
    <mergeCell ref="F52:H55"/>
    <mergeCell ref="F51:H51"/>
    <mergeCell ref="F29:H29"/>
    <mergeCell ref="F30:H30"/>
    <mergeCell ref="F35:H35"/>
  </mergeCells>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3A68-5E74-46BD-BE5A-305E51FCC1A9}">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MSA Data</vt:lpstr>
      <vt:lpstr>Measurement System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ARMANDO FIGUEROA FUENTES</dc:creator>
  <cp:keywords/>
  <dc:description/>
  <cp:lastModifiedBy>Rubén Armando Figueroa Fuentes</cp:lastModifiedBy>
  <cp:revision/>
  <dcterms:created xsi:type="dcterms:W3CDTF">2026-04-27T19:00:40Z</dcterms:created>
  <dcterms:modified xsi:type="dcterms:W3CDTF">2026-06-10T17:58:05Z</dcterms:modified>
  <cp:category/>
  <cp:contentStatus/>
</cp:coreProperties>
</file>